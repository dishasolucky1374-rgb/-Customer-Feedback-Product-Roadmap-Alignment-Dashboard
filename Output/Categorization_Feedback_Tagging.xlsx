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_Table" sheetId="1" state="visible" r:id="rId3"/>
    <sheet name="Feedback_Data" sheetId="2" state="visible" r:id="rId4"/>
    <sheet name="Process_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<sst xmlns="http://schemas.openxmlformats.org/spreadsheetml/2006/main" count="123" uniqueCount="99">
  <si>
    <t xml:space="preserve">Roadmap Feature Table</t>
  </si>
  <si>
    <t xml:space="preserve">Reference table of planned roadmap features by category. VLOOKUP in Feedback_Data reads from here.</t>
  </si>
  <si>
    <t xml:space="preserve">Category</t>
  </si>
  <si>
    <t xml:space="preserve">Feature_ID</t>
  </si>
  <si>
    <t xml:space="preserve">Feature_Name</t>
  </si>
  <si>
    <t xml:space="preserve">Status</t>
  </si>
  <si>
    <t xml:space="preserve">Target_Release</t>
  </si>
  <si>
    <t xml:space="preserve">Pricing</t>
  </si>
  <si>
    <t xml:space="preserve">FT-101</t>
  </si>
  <si>
    <t xml:space="preserve">Flexible Billing Cycles</t>
  </si>
  <si>
    <t xml:space="preserve">In Progress</t>
  </si>
  <si>
    <t xml:space="preserve">Q1 2027</t>
  </si>
  <si>
    <t xml:space="preserve">Performance</t>
  </si>
  <si>
    <t xml:space="preserve">FT-102</t>
  </si>
  <si>
    <t xml:space="preserve">Faster Page Load Optimization</t>
  </si>
  <si>
    <t xml:space="preserve">Planned</t>
  </si>
  <si>
    <t xml:space="preserve">Q2 2027</t>
  </si>
  <si>
    <t xml:space="preserve">Integrations</t>
  </si>
  <si>
    <t xml:space="preserve">FT-103</t>
  </si>
  <si>
    <t xml:space="preserve">Slack Integration</t>
  </si>
  <si>
    <t xml:space="preserve">Q4 2026</t>
  </si>
  <si>
    <t xml:space="preserve">Mobile</t>
  </si>
  <si>
    <t xml:space="preserve">FT-104</t>
  </si>
  <si>
    <t xml:space="preserve">Native Mobile App Redesign</t>
  </si>
  <si>
    <t xml:space="preserve">Support</t>
  </si>
  <si>
    <t xml:space="preserve">FT-105</t>
  </si>
  <si>
    <t xml:space="preserve">24/7 Live Chat Support</t>
  </si>
  <si>
    <t xml:space="preserve">Shipped</t>
  </si>
  <si>
    <t xml:space="preserve">Q3 2026</t>
  </si>
  <si>
    <t xml:space="preserve">Security</t>
  </si>
  <si>
    <t xml:space="preserve">FT-106</t>
  </si>
  <si>
    <t xml:space="preserve">Single Sign-On (SSO)</t>
  </si>
  <si>
    <t xml:space="preserve">Reporting</t>
  </si>
  <si>
    <t xml:space="preserve">FT-107</t>
  </si>
  <si>
    <t xml:space="preserve">Custom Dashboard Builder</t>
  </si>
  <si>
    <t xml:space="preserve">Onboarding</t>
  </si>
  <si>
    <t xml:space="preserve">FT-108</t>
  </si>
  <si>
    <t xml:space="preserve">Guided Setup Wizard</t>
  </si>
  <si>
    <t xml:space="preserve">Legend: add new rows below the table to register more roadmap features. Category (col A) must match the Feedback_Data Category values exactly.</t>
  </si>
  <si>
    <t xml:space="preserve">Customer Feedback Data</t>
  </si>
  <si>
    <t xml:space="preserve">Each feedback item is tagged with a Category, then linked to a matching Roadmap_Table feature via VLOOKUP.</t>
  </si>
  <si>
    <t xml:space="preserve">Feedback_ID</t>
  </si>
  <si>
    <t xml:space="preserve">Customer</t>
  </si>
  <si>
    <t xml:space="preserve">Feedback_Text</t>
  </si>
  <si>
    <t xml:space="preserve">Date_Submitted</t>
  </si>
  <si>
    <t xml:space="preserve">Linked_Feature_ID</t>
  </si>
  <si>
    <t xml:space="preserve">FB-001</t>
  </si>
  <si>
    <t xml:space="preserve">Acme Corp</t>
  </si>
  <si>
    <t xml:space="preserve">We need monthly instead of only annual billing.</t>
  </si>
  <si>
    <t xml:space="preserve">2026-06-02</t>
  </si>
  <si>
    <t xml:space="preserve">FB-002</t>
  </si>
  <si>
    <t xml:space="preserve">Nimbus Inc</t>
  </si>
  <si>
    <t xml:space="preserve">Dashboard takes too long to load with large datasets.</t>
  </si>
  <si>
    <t xml:space="preserve">2026-06-05</t>
  </si>
  <si>
    <t xml:space="preserve">FB-003</t>
  </si>
  <si>
    <t xml:space="preserve">BrightPath</t>
  </si>
  <si>
    <t xml:space="preserve">Please add a way to post alerts into Slack.</t>
  </si>
  <si>
    <t xml:space="preserve">2026-06-07</t>
  </si>
  <si>
    <t xml:space="preserve">FB-004</t>
  </si>
  <si>
    <t xml:space="preserve">The mobile app feels outdated compared to the web app.</t>
  </si>
  <si>
    <t xml:space="preserve">2026-06-10</t>
  </si>
  <si>
    <t xml:space="preserve">FB-005</t>
  </si>
  <si>
    <t xml:space="preserve">Delta Freight</t>
  </si>
  <si>
    <t xml:space="preserve">Would love live chat instead of only email support.</t>
  </si>
  <si>
    <t xml:space="preserve">2026-06-11</t>
  </si>
  <si>
    <t xml:space="preserve">FB-006</t>
  </si>
  <si>
    <t xml:space="preserve">Our IT team requires SSO before we can roll this out company-wide.</t>
  </si>
  <si>
    <t xml:space="preserve">2026-06-14</t>
  </si>
  <si>
    <t xml:space="preserve">FB-007</t>
  </si>
  <si>
    <t xml:space="preserve">Quartz Labs</t>
  </si>
  <si>
    <t xml:space="preserve">Localization</t>
  </si>
  <si>
    <t xml:space="preserve">No support for right-to-left languages like Arabic.</t>
  </si>
  <si>
    <t xml:space="preserve">2026-06-15</t>
  </si>
  <si>
    <t xml:space="preserve">FB-008</t>
  </si>
  <si>
    <t xml:space="preserve">Need the ability to build a custom dashboard for execs.</t>
  </si>
  <si>
    <t xml:space="preserve">2026-06-18</t>
  </si>
  <si>
    <t xml:space="preserve">FB-009</t>
  </si>
  <si>
    <t xml:space="preserve">New hires get lost without a step-by-step setup guide.</t>
  </si>
  <si>
    <t xml:space="preserve">2026-06-20</t>
  </si>
  <si>
    <t xml:space="preserve">FB-010</t>
  </si>
  <si>
    <t xml:space="preserve">Gamification</t>
  </si>
  <si>
    <t xml:space="preserve">Adding badges or streaks would boost daily engagement.</t>
  </si>
  <si>
    <t xml:space="preserve">2026-06-22</t>
  </si>
  <si>
    <t xml:space="preserve">Legend: to add new feedback, fill columns A–E (yellow = example format below); column F (Linked_Feature_ID) auto-fills via VLOOKUP against Roadmap_Table. Categories with no matching roadmap row return "Unaligned".</t>
  </si>
  <si>
    <t xml:space="preserve">FB-000 (example)</t>
  </si>
  <si>
    <t xml:space="preserve">Sample Customer</t>
  </si>
  <si>
    <t xml:space="preserve">Example feedback text describing the request.</t>
  </si>
  <si>
    <t xml:space="preserve">2026-01-01</t>
  </si>
  <si>
    <t xml:space="preserve">Step 3: Categorization &amp; Feedback Tagging</t>
  </si>
  <si>
    <t xml:space="preserve">What are we doing?</t>
  </si>
  <si>
    <t xml:space="preserve">Linking customer feedback with roadmap categories.</t>
  </si>
  <si>
    <t xml:space="preserve">Why are we doing it?</t>
  </si>
  <si>
    <t xml:space="preserve">Helps product managers know which roadmap features address the highest demand.</t>
  </si>
  <si>
    <t xml:space="preserve">How do we execute this?</t>
  </si>
  <si>
    <t xml:space="preserve">1) Add a Linked_Feature_ID column in Feedback_Data.
2) Use Excel Lookup (=VLOOKUP(Category, Roadmap_Table, ColumnNo, FALSE)) to map feedback to roadmap features.
3) If no feature matches, mark as "Unaligned."</t>
  </si>
  <si>
    <t xml:space="preserve">Formula used in this workbook</t>
  </si>
  <si>
    <t xml:space="preserve">Formula: IFERROR(VLOOKUP(C5,Roadmap_Table!$A$5:$C$12,2,FALSE),"Unaligned")
(IFERROR wraps the VLOOKUP so any category without a roadmap match displays "Unaligned" instead of a #N/A error.)</t>
  </si>
  <si>
    <t xml:space="preserve">ChatGPT Prompt</t>
  </si>
  <si>
    <t xml:space="preserve">Write an Excel formula to link customer feedback categories with matching features in a roadmap table.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</si>
</sst>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19</v>
      </c>
      <c r="D7" s="4" t="s">
        <v>10</v>
      </c>
      <c r="E7" s="4" t="s">
        <v>20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15</v>
      </c>
      <c r="E8" s="4" t="s">
        <v>11</v>
      </c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</row>
    <row r="10" customFormat="false" ht="15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10</v>
      </c>
      <c r="E10" s="4" t="s">
        <v>20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34</v>
      </c>
      <c r="D11" s="4" t="s">
        <v>15</v>
      </c>
      <c r="E11" s="4" t="s">
        <v>16</v>
      </c>
    </row>
    <row r="12" customFormat="false" ht="15" hidden="false" customHeight="false" outlineLevel="0" collapsed="false">
      <c r="A12" s="4" t="s">
        <v>35</v>
      </c>
      <c r="B12" s="4" t="s">
        <v>36</v>
      </c>
      <c r="C12" s="4" t="s">
        <v>37</v>
      </c>
      <c r="D12" s="4" t="s">
        <v>27</v>
      </c>
      <c r="E12" s="4" t="s">
        <v>28</v>
      </c>
    </row>
    <row r="14" customFormat="false" ht="15" hidden="false" customHeight="false" outlineLevel="0" collapsed="false">
      <c r="A14" s="2" t="s">
        <v>38</v>
      </c>
      <c r="B14" s="2"/>
      <c r="C14" s="2"/>
      <c r="D14" s="2"/>
      <c r="E14" s="2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39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41</v>
      </c>
      <c r="B4" s="3" t="s">
        <v>42</v>
      </c>
      <c r="C4" s="3" t="s">
        <v>2</v>
      </c>
      <c r="D4" s="3" t="s">
        <v>43</v>
      </c>
      <c r="E4" s="3" t="s">
        <v>44</v>
      </c>
      <c r="F4" s="3" t="s">
        <v>45</v>
      </c>
    </row>
    <row r="5" customFormat="false" ht="15" hidden="false" customHeight="false" outlineLevel="0" collapsed="false">
      <c r="A5" s="4" t="s">
        <v>46</v>
      </c>
      <c r="B5" s="4" t="s">
        <v>47</v>
      </c>
      <c r="C5" s="4" t="s">
        <v>7</v>
      </c>
      <c r="D5" s="5" t="s">
        <v>48</v>
      </c>
      <c r="E5" s="4" t="s">
        <v>49</v>
      </c>
      <c r="F5" s="6" t="str">
        <f aca="false">IFERROR(VLOOKUP(C5,Roadmap_Table!$A$5:$C$12,2,FALSE()),"Unaligned")</f>
        <v>FT-101</v>
      </c>
    </row>
    <row r="6" customFormat="false" ht="23.85" hidden="false" customHeight="false" outlineLevel="0" collapsed="false">
      <c r="A6" s="4" t="s">
        <v>50</v>
      </c>
      <c r="B6" s="4" t="s">
        <v>51</v>
      </c>
      <c r="C6" s="4" t="s">
        <v>12</v>
      </c>
      <c r="D6" s="5" t="s">
        <v>52</v>
      </c>
      <c r="E6" s="4" t="s">
        <v>53</v>
      </c>
      <c r="F6" s="6" t="str">
        <f aca="false">IFERROR(VLOOKUP(C6,Roadmap_Table!$A$5:$C$12,2,FALSE()),"Unaligned")</f>
        <v>FT-102</v>
      </c>
    </row>
    <row r="7" customFormat="false" ht="15" hidden="false" customHeight="false" outlineLevel="0" collapsed="false">
      <c r="A7" s="4" t="s">
        <v>54</v>
      </c>
      <c r="B7" s="4" t="s">
        <v>55</v>
      </c>
      <c r="C7" s="4" t="s">
        <v>17</v>
      </c>
      <c r="D7" s="5" t="s">
        <v>56</v>
      </c>
      <c r="E7" s="4" t="s">
        <v>57</v>
      </c>
      <c r="F7" s="6" t="str">
        <f aca="false">IFERROR(VLOOKUP(C7,Roadmap_Table!$A$5:$C$12,2,FALSE()),"Unaligned")</f>
        <v>FT-103</v>
      </c>
    </row>
    <row r="8" customFormat="false" ht="23.85" hidden="false" customHeight="false" outlineLevel="0" collapsed="false">
      <c r="A8" s="4" t="s">
        <v>58</v>
      </c>
      <c r="B8" s="4" t="s">
        <v>47</v>
      </c>
      <c r="C8" s="4" t="s">
        <v>21</v>
      </c>
      <c r="D8" s="5" t="s">
        <v>59</v>
      </c>
      <c r="E8" s="4" t="s">
        <v>60</v>
      </c>
      <c r="F8" s="6" t="str">
        <f aca="false">IFERROR(VLOOKUP(C8,Roadmap_Table!$A$5:$C$12,2,FALSE()),"Unaligned")</f>
        <v>FT-104</v>
      </c>
    </row>
    <row r="9" customFormat="false" ht="15" hidden="false" customHeight="false" outlineLevel="0" collapsed="false">
      <c r="A9" s="4" t="s">
        <v>61</v>
      </c>
      <c r="B9" s="4" t="s">
        <v>62</v>
      </c>
      <c r="C9" s="4" t="s">
        <v>24</v>
      </c>
      <c r="D9" s="5" t="s">
        <v>63</v>
      </c>
      <c r="E9" s="4" t="s">
        <v>64</v>
      </c>
      <c r="F9" s="6" t="str">
        <f aca="false">IFERROR(VLOOKUP(C9,Roadmap_Table!$A$5:$C$12,2,FALSE()),"Unaligned")</f>
        <v>FT-105</v>
      </c>
    </row>
    <row r="10" customFormat="false" ht="23.85" hidden="false" customHeight="false" outlineLevel="0" collapsed="false">
      <c r="A10" s="4" t="s">
        <v>65</v>
      </c>
      <c r="B10" s="4" t="s">
        <v>51</v>
      </c>
      <c r="C10" s="4" t="s">
        <v>29</v>
      </c>
      <c r="D10" s="5" t="s">
        <v>66</v>
      </c>
      <c r="E10" s="4" t="s">
        <v>67</v>
      </c>
      <c r="F10" s="6" t="str">
        <f aca="false">IFERROR(VLOOKUP(C10,Roadmap_Table!$A$5:$C$12,2,FALSE()),"Unaligned")</f>
        <v>FT-106</v>
      </c>
    </row>
    <row r="11" customFormat="false" ht="15" hidden="false" customHeight="false" outlineLevel="0" collapsed="false">
      <c r="A11" s="4" t="s">
        <v>68</v>
      </c>
      <c r="B11" s="4" t="s">
        <v>69</v>
      </c>
      <c r="C11" s="4" t="s">
        <v>70</v>
      </c>
      <c r="D11" s="5" t="s">
        <v>71</v>
      </c>
      <c r="E11" s="4" t="s">
        <v>72</v>
      </c>
      <c r="F11" s="6" t="str">
        <f aca="false">IFERROR(VLOOKUP(C11,Roadmap_Table!$A$5:$C$12,2,FALSE()),"Unaligned")</f>
        <v>Unaligned</v>
      </c>
    </row>
    <row r="12" customFormat="false" ht="23.85" hidden="false" customHeight="false" outlineLevel="0" collapsed="false">
      <c r="A12" s="4" t="s">
        <v>73</v>
      </c>
      <c r="B12" s="4" t="s">
        <v>55</v>
      </c>
      <c r="C12" s="4" t="s">
        <v>32</v>
      </c>
      <c r="D12" s="5" t="s">
        <v>74</v>
      </c>
      <c r="E12" s="4" t="s">
        <v>75</v>
      </c>
      <c r="F12" s="6" t="str">
        <f aca="false">IFERROR(VLOOKUP(C12,Roadmap_Table!$A$5:$C$12,2,FALSE()),"Unaligned")</f>
        <v>FT-107</v>
      </c>
    </row>
    <row r="13" customFormat="false" ht="23.85" hidden="false" customHeight="false" outlineLevel="0" collapsed="false">
      <c r="A13" s="4" t="s">
        <v>76</v>
      </c>
      <c r="B13" s="4" t="s">
        <v>62</v>
      </c>
      <c r="C13" s="4" t="s">
        <v>35</v>
      </c>
      <c r="D13" s="5" t="s">
        <v>77</v>
      </c>
      <c r="E13" s="4" t="s">
        <v>78</v>
      </c>
      <c r="F13" s="6" t="str">
        <f aca="false">IFERROR(VLOOKUP(C13,Roadmap_Table!$A$5:$C$12,2,FALSE()),"Unaligned")</f>
        <v>FT-108</v>
      </c>
    </row>
    <row r="14" customFormat="false" ht="23.85" hidden="false" customHeight="false" outlineLevel="0" collapsed="false">
      <c r="A14" s="4" t="s">
        <v>79</v>
      </c>
      <c r="B14" s="4" t="s">
        <v>69</v>
      </c>
      <c r="C14" s="4" t="s">
        <v>80</v>
      </c>
      <c r="D14" s="5" t="s">
        <v>81</v>
      </c>
      <c r="E14" s="4" t="s">
        <v>82</v>
      </c>
      <c r="F14" s="6" t="str">
        <f aca="false">IFERROR(VLOOKUP(C14,Roadmap_Table!$A$5:$C$12,2,FALSE()),"Unaligned")</f>
        <v>Unaligned</v>
      </c>
    </row>
    <row r="16" customFormat="false" ht="15" hidden="false" customHeight="false" outlineLevel="0" collapsed="false">
      <c r="A16" s="2" t="s">
        <v>83</v>
      </c>
      <c r="B16" s="2"/>
      <c r="C16" s="2"/>
      <c r="D16" s="2"/>
      <c r="E16" s="2"/>
      <c r="F16" s="2"/>
    </row>
    <row r="18" customFormat="false" ht="15" hidden="false" customHeight="false" outlineLevel="0" collapsed="false">
      <c r="A18" s="7" t="s">
        <v>84</v>
      </c>
      <c r="B18" s="7" t="s">
        <v>85</v>
      </c>
      <c r="C18" s="7" t="s">
        <v>7</v>
      </c>
      <c r="D18" s="8" t="s">
        <v>86</v>
      </c>
      <c r="E18" s="7" t="s">
        <v>87</v>
      </c>
      <c r="F18" s="9" t="str">
        <f aca="false">IFERROR(VLOOKUP(C18,Roadmap_Table!$A$5:$C$12,2,FALSE()),"Unaligned")</f>
        <v>FT-101</v>
      </c>
    </row>
  </sheetData>
  <mergeCells count="3">
    <mergeCell ref="A1:F1"/>
    <mergeCell ref="A2:F2"/>
    <mergeCell ref="A16:F16"/>
  </mergeCells>
  <conditionalFormatting sqref="F5:F14">
    <cfRule type="cellIs" priority="2" operator="equal" aboveAverage="0" equalAverage="0" bottom="0" percent="0" rank="0" text="" dxfId="0">
      <formula>"Unaligned"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88</v>
      </c>
      <c r="B1" s="1"/>
    </row>
    <row r="3" customFormat="false" ht="30" hidden="false" customHeight="true" outlineLevel="0" collapsed="false">
      <c r="A3" s="10" t="s">
        <v>89</v>
      </c>
      <c r="B3" s="11" t="s">
        <v>90</v>
      </c>
    </row>
    <row r="4" customFormat="false" ht="30" hidden="false" customHeight="true" outlineLevel="0" collapsed="false">
      <c r="A4" s="10" t="s">
        <v>91</v>
      </c>
      <c r="B4" s="11" t="s">
        <v>92</v>
      </c>
    </row>
    <row r="5" customFormat="false" ht="45" hidden="false" customHeight="true" outlineLevel="0" collapsed="false">
      <c r="A5" s="10" t="s">
        <v>93</v>
      </c>
      <c r="B5" s="11" t="s">
        <v>94</v>
      </c>
    </row>
    <row r="6" customFormat="false" ht="30" hidden="false" customHeight="true" outlineLevel="0" collapsed="false">
      <c r="A6" s="10" t="s">
        <v>95</v>
      </c>
      <c r="B6" s="11" t="s">
        <v>96</v>
      </c>
    </row>
    <row r="7" customFormat="false" ht="30" hidden="false" customHeight="true" outlineLevel="0" collapsed="false">
      <c r="A7" s="10" t="s">
        <v>97</v>
      </c>
      <c r="B7" s="11" t="s">
        <v>98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2026-08-18T14:07:30Z</dcterms:created>
  <dc:creator>openpyxl</dc:creator>
  <dc:description/>
  <dc:language>en-US</dc:language>
  <cp:lastModifiedBy/>
  <dcterms:modified xsi:type="dcterms:W3CDTF">2026-08-18T14:07:30Z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