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-If Analysis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1F497D"/>
      <sz val="13"/>
    </font>
    <font>
      <name val="Calibri"/>
      <b val="1"/>
      <color rgb="00FFFFFF"/>
      <sz val="10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1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2" fontId="6" fillId="3" borderId="1" applyAlignment="1" pivotButton="0" quotePrefix="0" xfId="0">
      <alignment horizontal="right" vertical="center"/>
    </xf>
    <xf numFmtId="1" fontId="6" fillId="3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Priority Score Comparison Across Scenarios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'What-If Analysis'!F12</f>
            </strRef>
          </tx>
          <spPr>
            <a:ln xmlns:a="http://schemas.openxmlformats.org/drawingml/2006/main">
              <a:prstDash val="solid"/>
            </a:ln>
          </spPr>
          <cat>
            <numRef>
              <f>'What-If Analysis'!$B$13:$B$22</f>
            </numRef>
          </cat>
          <val>
            <numRef>
              <f>'What-If Analysis'!$F$13:$F$22</f>
            </numRef>
          </val>
        </ser>
        <ser>
          <idx val="1"/>
          <order val="1"/>
          <tx>
            <strRef>
              <f>'What-If Analysis'!G12</f>
            </strRef>
          </tx>
          <spPr>
            <a:ln xmlns:a="http://schemas.openxmlformats.org/drawingml/2006/main">
              <a:prstDash val="solid"/>
            </a:ln>
          </spPr>
          <cat>
            <numRef>
              <f>'What-If Analysis'!$B$13:$B$22</f>
            </numRef>
          </cat>
          <val>
            <numRef>
              <f>'What-If Analysis'!$G$13:$G$22</f>
            </numRef>
          </val>
        </ser>
        <ser>
          <idx val="2"/>
          <order val="2"/>
          <tx>
            <strRef>
              <f>'What-If Analysis'!H12</f>
            </strRef>
          </tx>
          <spPr>
            <a:ln xmlns:a="http://schemas.openxmlformats.org/drawingml/2006/main">
              <a:prstDash val="solid"/>
            </a:ln>
          </spPr>
          <cat>
            <numRef>
              <f>'What-If Analysis'!$B$13:$B$22</f>
            </numRef>
          </cat>
          <val>
            <numRef>
              <f>'What-If Analysis'!$H$13:$H$22</f>
            </numRef>
          </val>
        </ser>
        <ser>
          <idx val="3"/>
          <order val="3"/>
          <tx>
            <strRef>
              <f>'What-If Analysis'!I12</f>
            </strRef>
          </tx>
          <spPr>
            <a:ln xmlns:a="http://schemas.openxmlformats.org/drawingml/2006/main">
              <a:prstDash val="solid"/>
            </a:ln>
          </spPr>
          <cat>
            <numRef>
              <f>'What-If Analysis'!$B$13:$B$22</f>
            </numRef>
          </cat>
          <val>
            <numRef>
              <f>'What-If Analysis'!$I$13:$I$22</f>
            </numRef>
          </val>
        </ser>
        <ser>
          <idx val="4"/>
          <order val="4"/>
          <tx>
            <strRef>
              <f>'What-If Analysis'!J12</f>
            </strRef>
          </tx>
          <spPr>
            <a:ln xmlns:a="http://schemas.openxmlformats.org/drawingml/2006/main">
              <a:prstDash val="solid"/>
            </a:ln>
          </spPr>
          <cat>
            <numRef>
              <f>'What-If Analysis'!$B$13:$B$22</f>
            </numRef>
          </cat>
          <val>
            <numRef>
              <f>'What-If Analysis'!$J$13:$J$22</f>
            </numRef>
          </val>
        </ser>
        <ser>
          <idx val="5"/>
          <order val="5"/>
          <tx>
            <strRef>
              <f>'What-If Analysis'!K12</f>
            </strRef>
          </tx>
          <spPr>
            <a:ln xmlns:a="http://schemas.openxmlformats.org/drawingml/2006/main">
              <a:prstDash val="solid"/>
            </a:ln>
          </spPr>
          <cat>
            <numRef>
              <f>'What-If Analysis'!$B$13:$B$22</f>
            </numRef>
          </cat>
          <val>
            <numRef>
              <f>'What-If Analysis'!$K$13:$K$22</f>
            </numRef>
          </val>
        </ser>
        <ser>
          <idx val="6"/>
          <order val="6"/>
          <tx>
            <strRef>
              <f>'What-If Analysis'!L12</f>
            </strRef>
          </tx>
          <spPr>
            <a:ln xmlns:a="http://schemas.openxmlformats.org/drawingml/2006/main">
              <a:prstDash val="solid"/>
            </a:ln>
          </spPr>
          <cat>
            <numRef>
              <f>'What-If Analysis'!$B$13:$B$22</f>
            </numRef>
          </cat>
          <val>
            <numRef>
              <f>'What-If Analysis'!$L$13:$L$22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Weighted Priority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5" customWidth="1" min="4" max="4"/>
    <col width="15" customWidth="1" min="5" max="5"/>
    <col width="14" customWidth="1" min="6" max="6"/>
    <col width="13" customWidth="1" min="7" max="7"/>
    <col width="15" customWidth="1" min="8" max="8"/>
    <col width="14" customWidth="1" min="9" max="9"/>
    <col width="14" customWidth="1" min="10" max="10"/>
    <col width="13" customWidth="1" min="11" max="11"/>
    <col width="14" customWidth="1" min="12" max="12"/>
    <col width="13" customWidth="1" min="13" max="13"/>
  </cols>
  <sheetData>
    <row r="1">
      <c r="A1" s="1" t="inlineStr">
        <is>
          <t>Feature Prioritization: Scenario &amp; What-If Analysis</t>
        </is>
      </c>
    </row>
    <row r="2">
      <c r="A2" s="2" t="inlineStr">
        <is>
          <t>Compare feature priority scores and rankings across different stakeholder weighting scenarios.</t>
        </is>
      </c>
    </row>
    <row r="4">
      <c r="A4" s="3" t="inlineStr">
        <is>
          <t>1. Scenario Weight Configurations</t>
        </is>
      </c>
    </row>
    <row r="5">
      <c r="A5" s="4" t="inlineStr">
        <is>
          <t>Scenario Name</t>
        </is>
      </c>
      <c r="B5" s="4" t="inlineStr">
        <is>
          <t>Feedback Weight (W_f)</t>
        </is>
      </c>
      <c r="C5" s="4" t="inlineStr">
        <is>
          <t>Business Weight (W_b)</t>
        </is>
      </c>
      <c r="D5" s="4" t="inlineStr">
        <is>
          <t>Sentiment Weight (W_s)</t>
        </is>
      </c>
      <c r="E5" s="4" t="inlineStr">
        <is>
          <t>Total Weight</t>
        </is>
      </c>
    </row>
    <row r="6">
      <c r="A6" s="5" t="inlineStr">
        <is>
          <t>Default (Baseline)</t>
        </is>
      </c>
      <c r="B6" s="6" t="n">
        <v>0.5</v>
      </c>
      <c r="C6" s="6" t="n">
        <v>0.3</v>
      </c>
      <c r="D6" s="6" t="n">
        <v>0.2</v>
      </c>
      <c r="E6" s="6">
        <f>SUM(B6:D6)</f>
        <v/>
      </c>
    </row>
    <row r="7">
      <c r="A7" s="5" t="inlineStr">
        <is>
          <t>Scenario 1: Customer-First</t>
        </is>
      </c>
      <c r="B7" s="6" t="n">
        <v>0.6</v>
      </c>
      <c r="C7" s="6" t="n">
        <v>0.2</v>
      </c>
      <c r="D7" s="6" t="n">
        <v>0.2</v>
      </c>
      <c r="E7" s="6">
        <f>SUM(B7:D7)</f>
        <v/>
      </c>
    </row>
    <row r="8">
      <c r="A8" s="5" t="inlineStr">
        <is>
          <t>Scenario 2: Business-First</t>
        </is>
      </c>
      <c r="B8" s="6" t="n">
        <v>0.3</v>
      </c>
      <c r="C8" s="6" t="n">
        <v>0.5</v>
      </c>
      <c r="D8" s="6" t="n">
        <v>0.2</v>
      </c>
      <c r="E8" s="6">
        <f>SUM(B8:D8)</f>
        <v/>
      </c>
    </row>
    <row r="9">
      <c r="A9" s="5" t="inlineStr">
        <is>
          <t>Scenario 3: Balanced Mix</t>
        </is>
      </c>
      <c r="B9" s="6" t="n">
        <v>0.4</v>
      </c>
      <c r="C9" s="6" t="n">
        <v>0.4</v>
      </c>
      <c r="D9" s="6" t="n">
        <v>0.2</v>
      </c>
      <c r="E9" s="6">
        <f>SUM(B9:D9)</f>
        <v/>
      </c>
    </row>
    <row r="11">
      <c r="A11" s="3" t="inlineStr">
        <is>
          <t>2. Feature Scoring &amp; Multi-Scenario Comparison</t>
        </is>
      </c>
    </row>
    <row r="12">
      <c r="A12" s="4" t="inlineStr">
        <is>
          <t>Feature ID</t>
        </is>
      </c>
      <c r="B12" s="4" t="inlineStr">
        <is>
          <t>Feature Name</t>
        </is>
      </c>
      <c r="C12" s="4" t="inlineStr">
        <is>
          <t>Feedback Count</t>
        </is>
      </c>
      <c r="D12" s="4" t="inlineStr">
        <is>
          <t>Business Value</t>
        </is>
      </c>
      <c r="E12" s="4" t="inlineStr">
        <is>
          <t>Sentiment Score</t>
        </is>
      </c>
      <c r="F12" s="4" t="inlineStr">
        <is>
          <t>Default Score</t>
        </is>
      </c>
      <c r="G12" s="4" t="inlineStr">
        <is>
          <t>Default Rank</t>
        </is>
      </c>
      <c r="H12" s="4" t="inlineStr">
        <is>
          <t>Cust-First Score</t>
        </is>
      </c>
      <c r="I12" s="4" t="inlineStr">
        <is>
          <t>Cust-First Rank</t>
        </is>
      </c>
      <c r="J12" s="4" t="inlineStr">
        <is>
          <t>Biz-First Score</t>
        </is>
      </c>
      <c r="K12" s="4" t="inlineStr">
        <is>
          <t>Biz-First Rank</t>
        </is>
      </c>
      <c r="L12" s="4" t="inlineStr">
        <is>
          <t>Balanced Score</t>
        </is>
      </c>
      <c r="M12" s="4" t="inlineStr">
        <is>
          <t>Balanced Rank</t>
        </is>
      </c>
    </row>
    <row r="13">
      <c r="A13" s="7" t="inlineStr">
        <is>
          <t>FEAT-101</t>
        </is>
      </c>
      <c r="B13" s="8" t="inlineStr">
        <is>
          <t>AI Automated Ticket Routing</t>
        </is>
      </c>
      <c r="C13" s="9" t="n">
        <v>92</v>
      </c>
      <c r="D13" s="9" t="n">
        <v>9.5</v>
      </c>
      <c r="E13" s="9" t="n">
        <v>8.5</v>
      </c>
      <c r="F13" s="10">
        <f>(C13*$B$6)+(D13*$C$6)+(E13*$D$6)</f>
        <v/>
      </c>
      <c r="G13" s="11">
        <f>RANK(F13, $F$13:$F$22)</f>
        <v/>
      </c>
      <c r="H13" s="10">
        <f>(C13*$B$7)+(D13*$C$7)+(E13*$D$7)</f>
        <v/>
      </c>
      <c r="I13" s="11">
        <f>RANK(H13, $H$13:$H$22)</f>
        <v/>
      </c>
      <c r="J13" s="10">
        <f>(C13*$B$8)+(D13*$C$8)+(E13*$D$8)</f>
        <v/>
      </c>
      <c r="K13" s="11">
        <f>RANK(J13, $J$13:$J$22)</f>
        <v/>
      </c>
      <c r="L13" s="10">
        <f>(C13*$B$9)+(D13*$C$9)+(E13*$D$9)</f>
        <v/>
      </c>
      <c r="M13" s="11">
        <f>RANK(L13, $L$13:$L$22)</f>
        <v/>
      </c>
    </row>
    <row r="14">
      <c r="A14" s="12" t="inlineStr">
        <is>
          <t>FEAT-102</t>
        </is>
      </c>
      <c r="B14" s="13" t="inlineStr">
        <is>
          <t>Dark Mode UI Theme</t>
        </is>
      </c>
      <c r="C14" s="14" t="n">
        <v>85</v>
      </c>
      <c r="D14" s="14" t="n">
        <v>4</v>
      </c>
      <c r="E14" s="14" t="n">
        <v>9</v>
      </c>
      <c r="F14" s="15">
        <f>(C14*$B$6)+(D14*$C$6)+(E14*$D$6)</f>
        <v/>
      </c>
      <c r="G14" s="16">
        <f>RANK(F14, $F$13:$F$22)</f>
        <v/>
      </c>
      <c r="H14" s="15">
        <f>(C14*$B$7)+(D14*$C$7)+(E14*$D$7)</f>
        <v/>
      </c>
      <c r="I14" s="16">
        <f>RANK(H14, $H$13:$H$22)</f>
        <v/>
      </c>
      <c r="J14" s="15">
        <f>(C14*$B$8)+(D14*$C$8)+(E14*$D$8)</f>
        <v/>
      </c>
      <c r="K14" s="16">
        <f>RANK(J14, $J$13:$J$22)</f>
        <v/>
      </c>
      <c r="L14" s="15">
        <f>(C14*$B$9)+(D14*$C$9)+(E14*$D$9)</f>
        <v/>
      </c>
      <c r="M14" s="16">
        <f>RANK(L14, $L$13:$L$22)</f>
        <v/>
      </c>
    </row>
    <row r="15">
      <c r="A15" s="7" t="inlineStr">
        <is>
          <t>FEAT-103</t>
        </is>
      </c>
      <c r="B15" s="8" t="inlineStr">
        <is>
          <t>SSO &amp; Enterprise SAML Integration</t>
        </is>
      </c>
      <c r="C15" s="9" t="n">
        <v>45</v>
      </c>
      <c r="D15" s="9" t="n">
        <v>9.800000000000001</v>
      </c>
      <c r="E15" s="9" t="n">
        <v>6</v>
      </c>
      <c r="F15" s="10">
        <f>(C15*$B$6)+(D15*$C$6)+(E15*$D$6)</f>
        <v/>
      </c>
      <c r="G15" s="11">
        <f>RANK(F15, $F$13:$F$22)</f>
        <v/>
      </c>
      <c r="H15" s="10">
        <f>(C15*$B$7)+(D15*$C$7)+(E15*$D$7)</f>
        <v/>
      </c>
      <c r="I15" s="11">
        <f>RANK(H15, $H$13:$H$22)</f>
        <v/>
      </c>
      <c r="J15" s="10">
        <f>(C15*$B$8)+(D15*$C$8)+(E15*$D$8)</f>
        <v/>
      </c>
      <c r="K15" s="11">
        <f>RANK(J15, $J$13:$J$22)</f>
        <v/>
      </c>
      <c r="L15" s="10">
        <f>(C15*$B$9)+(D15*$C$9)+(E15*$D$9)</f>
        <v/>
      </c>
      <c r="M15" s="11">
        <f>RANK(L15, $L$13:$L$22)</f>
        <v/>
      </c>
    </row>
    <row r="16">
      <c r="A16" s="12" t="inlineStr">
        <is>
          <t>FEAT-104</t>
        </is>
      </c>
      <c r="B16" s="13" t="inlineStr">
        <is>
          <t>Custom Dashboard Widgets</t>
        </is>
      </c>
      <c r="C16" s="14" t="n">
        <v>78</v>
      </c>
      <c r="D16" s="14" t="n">
        <v>7.5</v>
      </c>
      <c r="E16" s="14" t="n">
        <v>7.8</v>
      </c>
      <c r="F16" s="15">
        <f>(C16*$B$6)+(D16*$C$6)+(E16*$D$6)</f>
        <v/>
      </c>
      <c r="G16" s="16">
        <f>RANK(F16, $F$13:$F$22)</f>
        <v/>
      </c>
      <c r="H16" s="15">
        <f>(C16*$B$7)+(D16*$C$7)+(E16*$D$7)</f>
        <v/>
      </c>
      <c r="I16" s="16">
        <f>RANK(H16, $H$13:$H$22)</f>
        <v/>
      </c>
      <c r="J16" s="15">
        <f>(C16*$B$8)+(D16*$C$8)+(E16*$D$8)</f>
        <v/>
      </c>
      <c r="K16" s="16">
        <f>RANK(J16, $J$13:$J$22)</f>
        <v/>
      </c>
      <c r="L16" s="15">
        <f>(C16*$B$9)+(D16*$C$9)+(E16*$D$9)</f>
        <v/>
      </c>
      <c r="M16" s="16">
        <f>RANK(L16, $L$13:$L$22)</f>
        <v/>
      </c>
    </row>
    <row r="17">
      <c r="A17" s="7" t="inlineStr">
        <is>
          <t>FEAT-105</t>
        </is>
      </c>
      <c r="B17" s="8" t="inlineStr">
        <is>
          <t>Export Data to CSV/Excel</t>
        </is>
      </c>
      <c r="C17" s="9" t="n">
        <v>95</v>
      </c>
      <c r="D17" s="9" t="n">
        <v>5.5</v>
      </c>
      <c r="E17" s="9" t="n">
        <v>8</v>
      </c>
      <c r="F17" s="10">
        <f>(C17*$B$6)+(D17*$C$6)+(E17*$D$6)</f>
        <v/>
      </c>
      <c r="G17" s="11">
        <f>RANK(F17, $F$13:$F$22)</f>
        <v/>
      </c>
      <c r="H17" s="10">
        <f>(C17*$B$7)+(D17*$C$7)+(E17*$D$7)</f>
        <v/>
      </c>
      <c r="I17" s="11">
        <f>RANK(H17, $H$13:$H$22)</f>
        <v/>
      </c>
      <c r="J17" s="10">
        <f>(C17*$B$8)+(D17*$C$8)+(E17*$D$8)</f>
        <v/>
      </c>
      <c r="K17" s="11">
        <f>RANK(J17, $J$13:$J$22)</f>
        <v/>
      </c>
      <c r="L17" s="10">
        <f>(C17*$B$9)+(D17*$C$9)+(E17*$D$9)</f>
        <v/>
      </c>
      <c r="M17" s="11">
        <f>RANK(L17, $L$13:$L$22)</f>
        <v/>
      </c>
    </row>
    <row r="18">
      <c r="A18" s="12" t="inlineStr">
        <is>
          <t>FEAT-106</t>
        </is>
      </c>
      <c r="B18" s="13" t="inlineStr">
        <is>
          <t>API Rate Limit Management</t>
        </is>
      </c>
      <c r="C18" s="14" t="n">
        <v>30</v>
      </c>
      <c r="D18" s="14" t="n">
        <v>8.5</v>
      </c>
      <c r="E18" s="14" t="n">
        <v>5.5</v>
      </c>
      <c r="F18" s="15">
        <f>(C18*$B$6)+(D18*$C$6)+(E18*$D$6)</f>
        <v/>
      </c>
      <c r="G18" s="16">
        <f>RANK(F18, $F$13:$F$22)</f>
        <v/>
      </c>
      <c r="H18" s="15">
        <f>(C18*$B$7)+(D18*$C$7)+(E18*$D$7)</f>
        <v/>
      </c>
      <c r="I18" s="16">
        <f>RANK(H18, $H$13:$H$22)</f>
        <v/>
      </c>
      <c r="J18" s="15">
        <f>(C18*$B$8)+(D18*$C$8)+(E18*$D$8)</f>
        <v/>
      </c>
      <c r="K18" s="16">
        <f>RANK(J18, $J$13:$J$22)</f>
        <v/>
      </c>
      <c r="L18" s="15">
        <f>(C18*$B$9)+(D18*$C$9)+(E18*$D$9)</f>
        <v/>
      </c>
      <c r="M18" s="16">
        <f>RANK(L18, $L$13:$L$22)</f>
        <v/>
      </c>
    </row>
    <row r="19">
      <c r="A19" s="7" t="inlineStr">
        <is>
          <t>FEAT-107</t>
        </is>
      </c>
      <c r="B19" s="8" t="inlineStr">
        <is>
          <t>Mobile App Push Notifications</t>
        </is>
      </c>
      <c r="C19" s="9" t="n">
        <v>68</v>
      </c>
      <c r="D19" s="9" t="n">
        <v>6.8</v>
      </c>
      <c r="E19" s="9" t="n">
        <v>7.2</v>
      </c>
      <c r="F19" s="10">
        <f>(C19*$B$6)+(D19*$C$6)+(E19*$D$6)</f>
        <v/>
      </c>
      <c r="G19" s="11">
        <f>RANK(F19, $F$13:$F$22)</f>
        <v/>
      </c>
      <c r="H19" s="10">
        <f>(C19*$B$7)+(D19*$C$7)+(E19*$D$7)</f>
        <v/>
      </c>
      <c r="I19" s="11">
        <f>RANK(H19, $H$13:$H$22)</f>
        <v/>
      </c>
      <c r="J19" s="10">
        <f>(C19*$B$8)+(D19*$C$8)+(E19*$D$8)</f>
        <v/>
      </c>
      <c r="K19" s="11">
        <f>RANK(J19, $J$13:$J$22)</f>
        <v/>
      </c>
      <c r="L19" s="10">
        <f>(C19*$B$9)+(D19*$C$9)+(E19*$D$9)</f>
        <v/>
      </c>
      <c r="M19" s="11">
        <f>RANK(L19, $L$13:$L$22)</f>
        <v/>
      </c>
    </row>
    <row r="20">
      <c r="A20" s="12" t="inlineStr">
        <is>
          <t>FEAT-108</t>
        </is>
      </c>
      <c r="B20" s="13" t="inlineStr">
        <is>
          <t>In-App Billing &amp; Invoice History</t>
        </is>
      </c>
      <c r="C20" s="14" t="n">
        <v>55</v>
      </c>
      <c r="D20" s="14" t="n">
        <v>9</v>
      </c>
      <c r="E20" s="14" t="n">
        <v>6.5</v>
      </c>
      <c r="F20" s="15">
        <f>(C20*$B$6)+(D20*$C$6)+(E20*$D$6)</f>
        <v/>
      </c>
      <c r="G20" s="16">
        <f>RANK(F20, $F$13:$F$22)</f>
        <v/>
      </c>
      <c r="H20" s="15">
        <f>(C20*$B$7)+(D20*$C$7)+(E20*$D$7)</f>
        <v/>
      </c>
      <c r="I20" s="16">
        <f>RANK(H20, $H$13:$H$22)</f>
        <v/>
      </c>
      <c r="J20" s="15">
        <f>(C20*$B$8)+(D20*$C$8)+(E20*$D$8)</f>
        <v/>
      </c>
      <c r="K20" s="16">
        <f>RANK(J20, $J$13:$J$22)</f>
        <v/>
      </c>
      <c r="L20" s="15">
        <f>(C20*$B$9)+(D20*$C$9)+(E20*$D$9)</f>
        <v/>
      </c>
      <c r="M20" s="16">
        <f>RANK(L20, $L$13:$L$22)</f>
        <v/>
      </c>
    </row>
    <row r="21">
      <c r="A21" s="7" t="inlineStr">
        <is>
          <t>FEAT-109</t>
        </is>
      </c>
      <c r="B21" s="8" t="inlineStr">
        <is>
          <t>Multi-Language Support</t>
        </is>
      </c>
      <c r="C21" s="9" t="n">
        <v>62</v>
      </c>
      <c r="D21" s="9" t="n">
        <v>6</v>
      </c>
      <c r="E21" s="9" t="n">
        <v>8.199999999999999</v>
      </c>
      <c r="F21" s="10">
        <f>(C21*$B$6)+(D21*$C$6)+(E21*$D$6)</f>
        <v/>
      </c>
      <c r="G21" s="11">
        <f>RANK(F21, $F$13:$F$22)</f>
        <v/>
      </c>
      <c r="H21" s="10">
        <f>(C21*$B$7)+(D21*$C$7)+(E21*$D$7)</f>
        <v/>
      </c>
      <c r="I21" s="11">
        <f>RANK(H21, $H$13:$H$22)</f>
        <v/>
      </c>
      <c r="J21" s="10">
        <f>(C21*$B$8)+(D21*$C$8)+(E21*$D$8)</f>
        <v/>
      </c>
      <c r="K21" s="11">
        <f>RANK(J21, $J$13:$J$22)</f>
        <v/>
      </c>
      <c r="L21" s="10">
        <f>(C21*$B$9)+(D21*$C$9)+(E21*$D$9)</f>
        <v/>
      </c>
      <c r="M21" s="11">
        <f>RANK(L21, $L$13:$L$22)</f>
        <v/>
      </c>
    </row>
    <row r="22">
      <c r="A22" s="12" t="inlineStr">
        <is>
          <t>FEAT-110</t>
        </is>
      </c>
      <c r="B22" s="13" t="inlineStr">
        <is>
          <t>Bulk User Import/Export</t>
        </is>
      </c>
      <c r="C22" s="14" t="n">
        <v>40</v>
      </c>
      <c r="D22" s="14" t="n">
        <v>7</v>
      </c>
      <c r="E22" s="14" t="n">
        <v>5</v>
      </c>
      <c r="F22" s="15">
        <f>(C22*$B$6)+(D22*$C$6)+(E22*$D$6)</f>
        <v/>
      </c>
      <c r="G22" s="16">
        <f>RANK(F22, $F$13:$F$22)</f>
        <v/>
      </c>
      <c r="H22" s="15">
        <f>(C22*$B$7)+(D22*$C$7)+(E22*$D$7)</f>
        <v/>
      </c>
      <c r="I22" s="16">
        <f>RANK(H22, $H$13:$H$22)</f>
        <v/>
      </c>
      <c r="J22" s="15">
        <f>(C22*$B$8)+(D22*$C$8)+(E22*$D$8)</f>
        <v/>
      </c>
      <c r="K22" s="16">
        <f>RANK(J22, $J$13:$J$22)</f>
        <v/>
      </c>
      <c r="L22" s="15">
        <f>(C22*$B$9)+(D22*$C$9)+(E22*$D$9)</f>
        <v/>
      </c>
      <c r="M22" s="16">
        <f>RANK(L22, $L$13:$L$22)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Executive Scenario Comparison Dashboard</t>
        </is>
      </c>
    </row>
    <row r="2">
      <c r="A2" s="2" t="inlineStr">
        <is>
          <t>Summary of priority rankings across scenarios and visual score trade-offs.</t>
        </is>
      </c>
    </row>
    <row r="4">
      <c r="A4" s="3" t="inlineStr">
        <is>
          <t>Feature Ranking Across Scenarios</t>
        </is>
      </c>
    </row>
    <row r="5">
      <c r="A5" s="4" t="inlineStr">
        <is>
          <t>Feature Name</t>
        </is>
      </c>
      <c r="B5" s="4" t="inlineStr">
        <is>
          <t>Default Rank</t>
        </is>
      </c>
      <c r="C5" s="4" t="inlineStr">
        <is>
          <t>Customer-First Rank</t>
        </is>
      </c>
      <c r="D5" s="4" t="inlineStr">
        <is>
          <t>Business-First Rank</t>
        </is>
      </c>
      <c r="E5" s="4" t="inlineStr">
        <is>
          <t>Balanced Mix Rank</t>
        </is>
      </c>
      <c r="F5" s="4" t="inlineStr">
        <is>
          <t>Max Rank Shift</t>
        </is>
      </c>
    </row>
    <row r="6">
      <c r="A6" s="17">
        <f>'What-If Analysis'!B13</f>
        <v/>
      </c>
      <c r="B6" s="18">
        <f>'What-If Analysis'!G13</f>
        <v/>
      </c>
      <c r="C6" s="18">
        <f>'What-If Analysis'!I13</f>
        <v/>
      </c>
      <c r="D6" s="18">
        <f>'What-If Analysis'!K13</f>
        <v/>
      </c>
      <c r="E6" s="18">
        <f>'What-If Analysis'!M13</f>
        <v/>
      </c>
      <c r="F6" s="19">
        <f>MAX(B6:E6)-MIN(B6:E6)</f>
        <v/>
      </c>
    </row>
    <row r="7">
      <c r="A7" s="20">
        <f>'What-If Analysis'!B14</f>
        <v/>
      </c>
      <c r="B7" s="21">
        <f>'What-If Analysis'!G14</f>
        <v/>
      </c>
      <c r="C7" s="21">
        <f>'What-If Analysis'!I14</f>
        <v/>
      </c>
      <c r="D7" s="21">
        <f>'What-If Analysis'!K14</f>
        <v/>
      </c>
      <c r="E7" s="21">
        <f>'What-If Analysis'!M14</f>
        <v/>
      </c>
      <c r="F7" s="22">
        <f>MAX(B7:E7)-MIN(B7:E7)</f>
        <v/>
      </c>
    </row>
    <row r="8">
      <c r="A8" s="17">
        <f>'What-If Analysis'!B15</f>
        <v/>
      </c>
      <c r="B8" s="18">
        <f>'What-If Analysis'!G15</f>
        <v/>
      </c>
      <c r="C8" s="18">
        <f>'What-If Analysis'!I15</f>
        <v/>
      </c>
      <c r="D8" s="18">
        <f>'What-If Analysis'!K15</f>
        <v/>
      </c>
      <c r="E8" s="18">
        <f>'What-If Analysis'!M15</f>
        <v/>
      </c>
      <c r="F8" s="19">
        <f>MAX(B8:E8)-MIN(B8:E8)</f>
        <v/>
      </c>
    </row>
    <row r="9">
      <c r="A9" s="20">
        <f>'What-If Analysis'!B16</f>
        <v/>
      </c>
      <c r="B9" s="21">
        <f>'What-If Analysis'!G16</f>
        <v/>
      </c>
      <c r="C9" s="21">
        <f>'What-If Analysis'!I16</f>
        <v/>
      </c>
      <c r="D9" s="21">
        <f>'What-If Analysis'!K16</f>
        <v/>
      </c>
      <c r="E9" s="21">
        <f>'What-If Analysis'!M16</f>
        <v/>
      </c>
      <c r="F9" s="22">
        <f>MAX(B9:E9)-MIN(B9:E9)</f>
        <v/>
      </c>
    </row>
    <row r="10">
      <c r="A10" s="17">
        <f>'What-If Analysis'!B17</f>
        <v/>
      </c>
      <c r="B10" s="18">
        <f>'What-If Analysis'!G17</f>
        <v/>
      </c>
      <c r="C10" s="18">
        <f>'What-If Analysis'!I17</f>
        <v/>
      </c>
      <c r="D10" s="18">
        <f>'What-If Analysis'!K17</f>
        <v/>
      </c>
      <c r="E10" s="18">
        <f>'What-If Analysis'!M17</f>
        <v/>
      </c>
      <c r="F10" s="19">
        <f>MAX(B10:E10)-MIN(B10:E10)</f>
        <v/>
      </c>
    </row>
    <row r="11">
      <c r="A11" s="20">
        <f>'What-If Analysis'!B18</f>
        <v/>
      </c>
      <c r="B11" s="21">
        <f>'What-If Analysis'!G18</f>
        <v/>
      </c>
      <c r="C11" s="21">
        <f>'What-If Analysis'!I18</f>
        <v/>
      </c>
      <c r="D11" s="21">
        <f>'What-If Analysis'!K18</f>
        <v/>
      </c>
      <c r="E11" s="21">
        <f>'What-If Analysis'!M18</f>
        <v/>
      </c>
      <c r="F11" s="22">
        <f>MAX(B11:E11)-MIN(B11:E11)</f>
        <v/>
      </c>
    </row>
    <row r="12">
      <c r="A12" s="17">
        <f>'What-If Analysis'!B19</f>
        <v/>
      </c>
      <c r="B12" s="18">
        <f>'What-If Analysis'!G19</f>
        <v/>
      </c>
      <c r="C12" s="18">
        <f>'What-If Analysis'!I19</f>
        <v/>
      </c>
      <c r="D12" s="18">
        <f>'What-If Analysis'!K19</f>
        <v/>
      </c>
      <c r="E12" s="18">
        <f>'What-If Analysis'!M19</f>
        <v/>
      </c>
      <c r="F12" s="19">
        <f>MAX(B12:E12)-MIN(B12:E12)</f>
        <v/>
      </c>
    </row>
    <row r="13">
      <c r="A13" s="20">
        <f>'What-If Analysis'!B20</f>
        <v/>
      </c>
      <c r="B13" s="21">
        <f>'What-If Analysis'!G20</f>
        <v/>
      </c>
      <c r="C13" s="21">
        <f>'What-If Analysis'!I20</f>
        <v/>
      </c>
      <c r="D13" s="21">
        <f>'What-If Analysis'!K20</f>
        <v/>
      </c>
      <c r="E13" s="21">
        <f>'What-If Analysis'!M20</f>
        <v/>
      </c>
      <c r="F13" s="22">
        <f>MAX(B13:E13)-MIN(B13:E13)</f>
        <v/>
      </c>
    </row>
    <row r="14">
      <c r="A14" s="17">
        <f>'What-If Analysis'!B21</f>
        <v/>
      </c>
      <c r="B14" s="18">
        <f>'What-If Analysis'!G21</f>
        <v/>
      </c>
      <c r="C14" s="18">
        <f>'What-If Analysis'!I21</f>
        <v/>
      </c>
      <c r="D14" s="18">
        <f>'What-If Analysis'!K21</f>
        <v/>
      </c>
      <c r="E14" s="18">
        <f>'What-If Analysis'!M21</f>
        <v/>
      </c>
      <c r="F14" s="19">
        <f>MAX(B14:E14)-MIN(B14:E14)</f>
        <v/>
      </c>
    </row>
    <row r="15">
      <c r="A15" s="20">
        <f>'What-If Analysis'!B22</f>
        <v/>
      </c>
      <c r="B15" s="21">
        <f>'What-If Analysis'!G22</f>
        <v/>
      </c>
      <c r="C15" s="21">
        <f>'What-If Analysis'!I22</f>
        <v/>
      </c>
      <c r="D15" s="21">
        <f>'What-If Analysis'!K22</f>
        <v/>
      </c>
      <c r="E15" s="21">
        <f>'What-If Analysis'!M22</f>
        <v/>
      </c>
      <c r="F15" s="22">
        <f>MAX(B15:E15)-MIN(B15:E15)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2026-08-18T14:25:27Z</dcterms:created>
  <dcterms:modified xmlns:dcterms="http://purl.org/dc/terms/" xmlns:xsi="http://www.w3.org/2001/XMLSchema-instance" xsi:type="dcterms:W3CDTF">2026-08-18T14:25:27Z</dcterms:modified>
</cp:coreProperties>
</file>